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0D8C3D1176166565A3AEAED14035ECE590CF919E" xr6:coauthVersionLast="47" xr6:coauthVersionMax="47" xr10:uidLastSave="{8AF85609-8E57-409B-B779-BE0E2348E6FB}"/>
  <bookViews>
    <workbookView xWindow="0" yWindow="0" windowWidth="16384" windowHeight="8192" tabRatio="500" xr2:uid="{00000000-000D-0000-FFFF-FFFF00000000}"/>
  </bookViews>
  <sheets>
    <sheet name="Monitorizare Tehnica" sheetId="1" r:id="rId1"/>
    <sheet name="Analiza Comerciala" sheetId="2" r:id="rId2"/>
    <sheet name="Comparatie Competiti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3" l="1"/>
  <c r="E11" i="3"/>
  <c r="D11" i="3"/>
  <c r="C11" i="3"/>
  <c r="B11" i="3"/>
  <c r="E10" i="2"/>
  <c r="D10" i="2"/>
  <c r="C10" i="2"/>
  <c r="F9" i="2"/>
  <c r="F8" i="2"/>
  <c r="F7" i="2"/>
  <c r="F6" i="2"/>
  <c r="F5" i="2"/>
  <c r="F4" i="2"/>
  <c r="D19" i="1"/>
  <c r="D18" i="1"/>
  <c r="D17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D20" i="1" l="1"/>
  <c r="D16" i="1"/>
  <c r="D15" i="1"/>
  <c r="D14" i="1"/>
  <c r="F10" i="2"/>
  <c r="G4" i="2"/>
  <c r="G5" i="2"/>
  <c r="H5" i="2" s="1"/>
  <c r="G6" i="2"/>
  <c r="H6" i="2" s="1"/>
  <c r="G7" i="2"/>
  <c r="H7" i="2" s="1"/>
  <c r="G8" i="2"/>
  <c r="H8" i="2" s="1"/>
  <c r="G9" i="2"/>
  <c r="H9" i="2" s="1"/>
  <c r="G10" i="2" l="1"/>
  <c r="H4" i="2"/>
  <c r="H10" i="2" s="1"/>
</calcChain>
</file>

<file path=xl/sharedStrings.xml><?xml version="1.0" encoding="utf-8"?>
<sst xmlns="http://schemas.openxmlformats.org/spreadsheetml/2006/main" count="70" uniqueCount="70">
  <si>
    <t>NeuroLink Prism — Monitorizare Calitate Senzori EEG</t>
  </si>
  <si>
    <t>Prag acceptabil: Zgomot &lt; 1.0 µV  |  Rezoluție: 24 biți  |  Calibrare optimă: ≤ 30 ms</t>
  </si>
  <si>
    <t>ID Senzor</t>
  </si>
  <si>
    <t>Locație (10-20)</t>
  </si>
  <si>
    <t>Zgomot (µV)</t>
  </si>
  <si>
    <t>Rezoluție (biți)</t>
  </si>
  <si>
    <t>Calibrare (ms)</t>
  </si>
  <si>
    <t>Status Calitate</t>
  </si>
  <si>
    <t>Scor Calitate (%)</t>
  </si>
  <si>
    <t>SNZ-C3-01</t>
  </si>
  <si>
    <t>Central Stânga (C3)</t>
  </si>
  <si>
    <t>SNZ-Fp1-02</t>
  </si>
  <si>
    <t>Frontal Stânga (Fp1)</t>
  </si>
  <si>
    <t>SNZ-P3-03</t>
  </si>
  <si>
    <t>Parietal Stânga (P3)</t>
  </si>
  <si>
    <t>SNZ-O1-04</t>
  </si>
  <si>
    <t>Occipital Stânga (O1)</t>
  </si>
  <si>
    <t>SNZ-Fz-05</t>
  </si>
  <si>
    <t>Frontal Central (Fz)</t>
  </si>
  <si>
    <t>SNZ-C4-06</t>
  </si>
  <si>
    <t>Central Dreapta (C4)</t>
  </si>
  <si>
    <t>SNZ-Fp2-07</t>
  </si>
  <si>
    <t>Frontal Dreapta (Fp2)</t>
  </si>
  <si>
    <t>SNZ-P4-08</t>
  </si>
  <si>
    <t>Parietal Dreapta (P4)</t>
  </si>
  <si>
    <t>SUMAR CALITATE LOT</t>
  </si>
  <si>
    <t>Senzori VALIZI (Funcție COUNTIF):</t>
  </si>
  <si>
    <t>Senzori RE-TESTARE:</t>
  </si>
  <si>
    <t>Senzori RESPINȘI:</t>
  </si>
  <si>
    <t>Zgomot MEDIU lot (Funcție AVERAGE):</t>
  </si>
  <si>
    <t>Zgomot MAX lot (Funcție MAX):</t>
  </si>
  <si>
    <t>Deviație Standard zgomot (STDEV):</t>
  </si>
  <si>
    <t>Status Linie Producție (IF+COUNTIF):</t>
  </si>
  <si>
    <t>NeuroLink Prism — Model Pricing &amp; Analiză Comercială</t>
  </si>
  <si>
    <t>Segment Client</t>
  </si>
  <si>
    <t>Oraș Distribuție</t>
  </si>
  <si>
    <t>Preț Unitar ($)</t>
  </si>
  <si>
    <t>Unități Vândute</t>
  </si>
  <si>
    <t>Cost Mentenanță (%)</t>
  </si>
  <si>
    <t>Venit Brut ($)</t>
  </si>
  <si>
    <t>Cost Total Mentenanță ($)</t>
  </si>
  <si>
    <t>ROI Estimat (%)</t>
  </si>
  <si>
    <t>Dispeceri Aerieni</t>
  </si>
  <si>
    <t>București</t>
  </si>
  <si>
    <t>Programatori</t>
  </si>
  <si>
    <t>Cluj-Napoca</t>
  </si>
  <si>
    <t>Studenți (Edu)</t>
  </si>
  <si>
    <t>Iași</t>
  </si>
  <si>
    <t>Corp Enterprise</t>
  </si>
  <si>
    <t>Timișoara</t>
  </si>
  <si>
    <t>Spitale / Medical</t>
  </si>
  <si>
    <t>Brașov</t>
  </si>
  <si>
    <t>Freelanceri</t>
  </si>
  <si>
    <t>Sibiu</t>
  </si>
  <si>
    <t>TOTAL / MEDIE</t>
  </si>
  <si>
    <t>NeuroLink Prism — Comparație cu Competiția</t>
  </si>
  <si>
    <t>Criteriu de Evaluare</t>
  </si>
  <si>
    <t>NeuroLink Prism</t>
  </si>
  <si>
    <t>Muse S (Gen 2)</t>
  </si>
  <si>
    <t>Apple Vision Pro</t>
  </si>
  <si>
    <t>Emotiv EPOC X</t>
  </si>
  <si>
    <t>Meta Quest 3</t>
  </si>
  <si>
    <t>Canale EEG</t>
  </si>
  <si>
    <t>Greutate (g)</t>
  </si>
  <si>
    <t>Timp Reacție UI (ms)</t>
  </si>
  <si>
    <t>Autonomie Baterie (h)</t>
  </si>
  <si>
    <t>Preț de Lansare ($)</t>
  </si>
  <si>
    <t>Rezoluție EEG (biți)</t>
  </si>
  <si>
    <t>Feedback Closed-Loop</t>
  </si>
  <si>
    <t>Scor Total (din 7 criterii)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</si>
</sst>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0.000"/>
    <numFmt numFmtId="166" formatCode="0.0%"/>
  </numFmts>
  <fonts count="9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D9E1F2"/>
        <bgColor rgb="FFDEEAF1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DEEAF1"/>
        <bgColor rgb="FFD9E1F2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6" borderId="2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/>
    <xf numFmtId="0" fontId="8" fillId="6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7CE"/>
      <rgbColor rgb="FF2E75B6"/>
      <rgbColor rgb="FF4BACC6"/>
      <rgbColor rgb="FF9BBB59"/>
      <rgbColor rgb="FFFFCC00"/>
      <rgbColor rgb="FFF79646"/>
      <rgbColor rgb="FFFF6600"/>
      <rgbColor rgb="FF8064A2"/>
      <rgbColor rgb="FF8EA9C1"/>
      <rgbColor rgb="FF1F3864"/>
      <rgbColor rgb="FF4F81BD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Venit Brut pe Segment de Clienți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 Comerciala'!F3</c:f>
              <c:strCache>
                <c:ptCount val="1"/>
                <c:pt idx="0">
                  <c:v>Venit Brut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'Analiza Comerciala'!$A$4:$A$9</c:f>
              <c:strCache>
                <c:ptCount val="6"/>
                <c:pt idx="0">
                  <c:v>Dispeceri Aerieni</c:v>
                </c:pt>
                <c:pt idx="1">
                  <c:v>Programatori</c:v>
                </c:pt>
                <c:pt idx="2">
                  <c:v>Studenți (Edu)</c:v>
                </c:pt>
                <c:pt idx="3">
                  <c:v>Corp Enterprise</c:v>
                </c:pt>
                <c:pt idx="4">
                  <c:v>Spitale / Medical</c:v>
                </c:pt>
                <c:pt idx="5">
                  <c:v>Freelanceri</c:v>
                </c:pt>
              </c:strCache>
            </c:strRef>
          </c:cat>
          <c:val>
            <c:numRef>
              <c:f>'Analiza Comerciala'!$F$4:$F$9</c:f>
              <c:numCache>
                <c:formatCode>#,##0</c:formatCode>
                <c:ptCount val="6"/>
                <c:pt idx="0">
                  <c:v>87500</c:v>
                </c:pt>
                <c:pt idx="1">
                  <c:v>180000</c:v>
                </c:pt>
                <c:pt idx="2">
                  <c:v>225000</c:v>
                </c:pt>
                <c:pt idx="3">
                  <c:v>42000</c:v>
                </c:pt>
                <c:pt idx="4">
                  <c:v>56000</c:v>
                </c:pt>
                <c:pt idx="5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5-4AEF-BFFD-454718E2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28444"/>
        <c:axId val="65632733"/>
      </c:barChart>
      <c:catAx>
        <c:axId val="49128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32733"/>
        <c:crosses val="autoZero"/>
        <c:auto val="1"/>
        <c:lblAlgn val="ctr"/>
        <c:lblOffset val="100"/>
        <c:noMultiLvlLbl val="0"/>
      </c:catAx>
      <c:valAx>
        <c:axId val="65632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Venit Brut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284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Distribuție Venituri pe Segmente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'Analiza Comerciala'!F3</c:f>
              <c:strCache>
                <c:ptCount val="1"/>
                <c:pt idx="0">
                  <c:v>Venit Brut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B6A-4DCB-924B-4F53DCB0FEF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B6A-4DCB-924B-4F53DCB0FEF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B6A-4DCB-924B-4F53DCB0FEF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B6A-4DCB-924B-4F53DCB0FEF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0B6A-4DCB-924B-4F53DCB0FEF3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0B6A-4DCB-924B-4F53DCB0FEF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B6A-4DCB-924B-4F53DCB0FEF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B6A-4DCB-924B-4F53DCB0FEF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B6A-4DCB-924B-4F53DCB0FEF3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B6A-4DCB-924B-4F53DCB0FEF3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B6A-4DCB-924B-4F53DCB0FEF3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B6A-4DCB-924B-4F53DCB0FE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'Analiza Comerciala'!$A$4:$A$9</c:f>
              <c:strCache>
                <c:ptCount val="6"/>
                <c:pt idx="0">
                  <c:v>Dispeceri Aerieni</c:v>
                </c:pt>
                <c:pt idx="1">
                  <c:v>Programatori</c:v>
                </c:pt>
                <c:pt idx="2">
                  <c:v>Studenți (Edu)</c:v>
                </c:pt>
                <c:pt idx="3">
                  <c:v>Corp Enterprise</c:v>
                </c:pt>
                <c:pt idx="4">
                  <c:v>Spitale / Medical</c:v>
                </c:pt>
                <c:pt idx="5">
                  <c:v>Freelanceri</c:v>
                </c:pt>
              </c:strCache>
            </c:strRef>
          </c:cat>
          <c:val>
            <c:numRef>
              <c:f>'Analiza Comerciala'!$F$4:$F$9</c:f>
              <c:numCache>
                <c:formatCode>#,##0</c:formatCode>
                <c:ptCount val="6"/>
                <c:pt idx="0">
                  <c:v>87500</c:v>
                </c:pt>
                <c:pt idx="1">
                  <c:v>180000</c:v>
                </c:pt>
                <c:pt idx="2">
                  <c:v>225000</c:v>
                </c:pt>
                <c:pt idx="3">
                  <c:v>42000</c:v>
                </c:pt>
                <c:pt idx="4">
                  <c:v>56000</c:v>
                </c:pt>
                <c:pt idx="5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6A-4DCB-924B-4F53DCB0F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19</xdr:col>
      <xdr:colOff>364680</xdr:colOff>
      <xdr:row>23</xdr:row>
      <xdr:rowOff>5040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18</xdr:col>
      <xdr:colOff>256320</xdr:colOff>
      <xdr:row>41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Normal="100" workbookViewId="0"/>
  </sheetViews>
  <sheetFormatPr defaultColWidth="8.7109375" defaultRowHeight="15"/>
  <cols>
    <col min="1" max="1" width="16" customWidth="1"/>
    <col min="2" max="2" width="24" customWidth="1"/>
    <col min="3" max="5" width="14" customWidth="1"/>
    <col min="6" max="6" width="16" customWidth="1"/>
    <col min="7" max="7" width="20" customWidth="1"/>
  </cols>
  <sheetData>
    <row r="1" spans="1:7" ht="30" customHeight="1">
      <c r="A1" s="5" t="s">
        <v>0</v>
      </c>
      <c r="B1" s="5"/>
      <c r="C1" s="5"/>
      <c r="D1" s="5"/>
      <c r="E1" s="5"/>
      <c r="F1" s="5"/>
      <c r="G1" s="5"/>
    </row>
    <row r="2" spans="1:7" ht="15.75" customHeight="1">
      <c r="A2" s="4" t="s">
        <v>1</v>
      </c>
      <c r="B2" s="4"/>
      <c r="C2" s="4"/>
      <c r="D2" s="4"/>
      <c r="E2" s="4"/>
      <c r="F2" s="4"/>
      <c r="G2" s="4"/>
    </row>
    <row r="3" spans="1:7" ht="36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pans="1:7">
      <c r="A4" s="7" t="s">
        <v>9</v>
      </c>
      <c r="B4" s="7" t="s">
        <v>10</v>
      </c>
      <c r="C4" s="8">
        <v>0.85</v>
      </c>
      <c r="D4" s="8">
        <v>24</v>
      </c>
      <c r="E4" s="8">
        <v>12.5</v>
      </c>
      <c r="F4" s="9" t="str">
        <f>IF(C4&lt;1,"Valid",IF(C4&lt;=1.2,"Re-testare","Respins"))</f>
        <v>Valid</v>
      </c>
      <c r="G4" s="10">
        <f>IF(C4&lt;1,100-C4*20,MAX(0,100-(C4-1)*80))</f>
        <v>83</v>
      </c>
    </row>
    <row r="5" spans="1:7">
      <c r="A5" s="11" t="s">
        <v>11</v>
      </c>
      <c r="B5" s="11" t="s">
        <v>12</v>
      </c>
      <c r="C5" s="12">
        <v>1.1499999999999999</v>
      </c>
      <c r="D5" s="12">
        <v>24</v>
      </c>
      <c r="E5" s="12">
        <v>28.2</v>
      </c>
      <c r="F5" s="13" t="str">
        <f>IF(C5&lt;1,"Valid",IF(C5&lt;=1.2,"Re-testare","Respins"))</f>
        <v>Re-testare</v>
      </c>
      <c r="G5" s="14">
        <f>IF(C5&lt;1,100-C5*20,MAX(0,100-(C5-1)*80))</f>
        <v>88</v>
      </c>
    </row>
    <row r="6" spans="1:7">
      <c r="A6" s="7" t="s">
        <v>13</v>
      </c>
      <c r="B6" s="7" t="s">
        <v>14</v>
      </c>
      <c r="C6" s="8">
        <v>0.42</v>
      </c>
      <c r="D6" s="8">
        <v>24</v>
      </c>
      <c r="E6" s="8">
        <v>8.4</v>
      </c>
      <c r="F6" s="9" t="str">
        <f>IF(C6&lt;1,"Valid",IF(C6&lt;=1.2,"Re-testare","Respins"))</f>
        <v>Valid</v>
      </c>
      <c r="G6" s="10">
        <f>IF(C6&lt;1,100-C6*20,MAX(0,100-(C6-1)*80))</f>
        <v>91.6</v>
      </c>
    </row>
    <row r="7" spans="1:7">
      <c r="A7" s="11" t="s">
        <v>15</v>
      </c>
      <c r="B7" s="11" t="s">
        <v>16</v>
      </c>
      <c r="C7" s="12">
        <v>1.45</v>
      </c>
      <c r="D7" s="12">
        <v>24</v>
      </c>
      <c r="E7" s="12">
        <v>45</v>
      </c>
      <c r="F7" s="13" t="str">
        <f>IF(C7&lt;1,"Valid",IF(C7&lt;=1.2,"Re-testare","Respins"))</f>
        <v>Respins</v>
      </c>
      <c r="G7" s="14">
        <f>IF(C7&lt;1,100-C7*20,MAX(0,100-(C7-1)*80))</f>
        <v>64</v>
      </c>
    </row>
    <row r="8" spans="1:7">
      <c r="A8" s="7" t="s">
        <v>17</v>
      </c>
      <c r="B8" s="7" t="s">
        <v>18</v>
      </c>
      <c r="C8" s="8">
        <v>0.92</v>
      </c>
      <c r="D8" s="8">
        <v>24</v>
      </c>
      <c r="E8" s="8">
        <v>15.1</v>
      </c>
      <c r="F8" s="9" t="str">
        <f>IF(C8&lt;1,"Valid",IF(C8&lt;=1.2,"Re-testare","Respins"))</f>
        <v>Valid</v>
      </c>
      <c r="G8" s="10">
        <f>IF(C8&lt;1,100-C8*20,MAX(0,100-(C8-1)*80))</f>
        <v>81.599999999999994</v>
      </c>
    </row>
    <row r="9" spans="1:7">
      <c r="A9" s="11" t="s">
        <v>19</v>
      </c>
      <c r="B9" s="11" t="s">
        <v>20</v>
      </c>
      <c r="C9" s="12">
        <v>0.78</v>
      </c>
      <c r="D9" s="12">
        <v>24</v>
      </c>
      <c r="E9" s="12">
        <v>10.3</v>
      </c>
      <c r="F9" s="13" t="str">
        <f>IF(C9&lt;1,"Valid",IF(C9&lt;=1.2,"Re-testare","Respins"))</f>
        <v>Valid</v>
      </c>
      <c r="G9" s="14">
        <f>IF(C9&lt;1,100-C9*20,MAX(0,100-(C9-1)*80))</f>
        <v>84.4</v>
      </c>
    </row>
    <row r="10" spans="1:7">
      <c r="A10" s="7" t="s">
        <v>21</v>
      </c>
      <c r="B10" s="7" t="s">
        <v>22</v>
      </c>
      <c r="C10" s="8">
        <v>1.08</v>
      </c>
      <c r="D10" s="8">
        <v>24</v>
      </c>
      <c r="E10" s="8">
        <v>22.7</v>
      </c>
      <c r="F10" s="9" t="str">
        <f>IF(C10&lt;1,"Valid",IF(C10&lt;=1.2,"Re-testare","Respins"))</f>
        <v>Re-testare</v>
      </c>
      <c r="G10" s="10">
        <f>IF(C10&lt;1,100-C10*20,MAX(0,100-(C10-1)*80))</f>
        <v>93.6</v>
      </c>
    </row>
    <row r="11" spans="1:7">
      <c r="A11" s="11" t="s">
        <v>23</v>
      </c>
      <c r="B11" s="11" t="s">
        <v>24</v>
      </c>
      <c r="C11" s="12">
        <v>0.55000000000000004</v>
      </c>
      <c r="D11" s="12">
        <v>24</v>
      </c>
      <c r="E11" s="12">
        <v>9.8000000000000007</v>
      </c>
      <c r="F11" s="13" t="str">
        <f>IF(C11&lt;1,"Valid",IF(C11&lt;=1.2,"Re-testare","Respins"))</f>
        <v>Valid</v>
      </c>
      <c r="G11" s="14">
        <f>IF(C11&lt;1,100-C11*20,MAX(0,100-(C11-1)*80))</f>
        <v>89</v>
      </c>
    </row>
    <row r="13" spans="1:7">
      <c r="A13" s="3" t="s">
        <v>25</v>
      </c>
      <c r="B13" s="3"/>
      <c r="C13" s="3"/>
    </row>
    <row r="14" spans="1:7">
      <c r="A14" s="2" t="s">
        <v>26</v>
      </c>
      <c r="B14" s="2"/>
      <c r="C14" s="2"/>
      <c r="D14" s="15">
        <f>COUNTIF(F4:F11,"Valid")</f>
        <v>5</v>
      </c>
    </row>
    <row r="15" spans="1:7">
      <c r="A15" s="2" t="s">
        <v>27</v>
      </c>
      <c r="B15" s="2"/>
      <c r="C15" s="2"/>
      <c r="D15" s="15">
        <f>COUNTIF(F4:F11,"Re-testare")</f>
        <v>2</v>
      </c>
    </row>
    <row r="16" spans="1:7">
      <c r="A16" s="2" t="s">
        <v>28</v>
      </c>
      <c r="B16" s="2"/>
      <c r="C16" s="2"/>
      <c r="D16" s="15">
        <f>COUNTIF(F4:F11,"Respins")</f>
        <v>1</v>
      </c>
    </row>
    <row r="17" spans="1:4">
      <c r="A17" s="2" t="s">
        <v>29</v>
      </c>
      <c r="B17" s="2"/>
      <c r="C17" s="2"/>
      <c r="D17" s="16">
        <f>AVERAGE(C4:C11)</f>
        <v>0.9</v>
      </c>
    </row>
    <row r="18" spans="1:4">
      <c r="A18" s="2" t="s">
        <v>30</v>
      </c>
      <c r="B18" s="2"/>
      <c r="C18" s="2"/>
      <c r="D18" s="16">
        <f>MAX(C4:C11)</f>
        <v>1.45</v>
      </c>
    </row>
    <row r="19" spans="1:4">
      <c r="A19" s="2" t="s">
        <v>31</v>
      </c>
      <c r="B19" s="2"/>
      <c r="C19" s="2"/>
      <c r="D19" s="16">
        <f>STDEV(C4:C11)</f>
        <v>0.33114519905495077</v>
      </c>
    </row>
    <row r="20" spans="1:4">
      <c r="A20" s="2" t="s">
        <v>32</v>
      </c>
      <c r="B20" s="2"/>
      <c r="C20" s="2"/>
      <c r="D20" s="15" t="str">
        <f>IF(COUNTIF(F4:F11,"Respins")&gt;0,"⚠ VERIFICARE NECESARĂ","✓ PRODUCȚIE OK")</f>
        <v>⚠ VERIFICARE NECESARĂ</v>
      </c>
    </row>
  </sheetData>
  <mergeCells count="10">
    <mergeCell ref="A16:C16"/>
    <mergeCell ref="A17:C17"/>
    <mergeCell ref="A18:C18"/>
    <mergeCell ref="A19:C19"/>
    <mergeCell ref="A20:C20"/>
    <mergeCell ref="A1:G1"/>
    <mergeCell ref="A2:G2"/>
    <mergeCell ref="A13:C13"/>
    <mergeCell ref="A14:C14"/>
    <mergeCell ref="A15:C15"/>
  </mergeCells>
  <conditionalFormatting sqref="C4:C11">
    <cfRule type="cellIs" dxfId="1" priority="2" operator="greaterThan">
      <formula>1</formula>
    </cfRule>
    <cfRule type="cellIs" dxfId="0" priority="3" operator="lessThan">
      <formula>0.9</formula>
    </cfRule>
  </conditionalFormatting>
  <conditionalFormatting sqref="E4:E11">
    <cfRule type="colorScale" priority="4">
      <colorScale>
        <cfvo type="min"/>
        <cfvo type="num" val="20"/>
        <cfvo type="max"/>
        <color rgb="FF63BE7B"/>
        <color rgb="FFFFEB84"/>
        <color rgb="FFF8696B"/>
      </colorScale>
    </cfRule>
  </conditionalFormatting>
  <conditionalFormatting sqref="G4:G11">
    <cfRule type="colorScale" priority="5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zoomScaleNormal="100" workbookViewId="0"/>
  </sheetViews>
  <sheetFormatPr defaultColWidth="8.7109375" defaultRowHeight="15"/>
  <cols>
    <col min="1" max="1" width="22" customWidth="1"/>
    <col min="2" max="2" width="16" customWidth="1"/>
    <col min="3" max="4" width="14" customWidth="1"/>
    <col min="5" max="6" width="16" customWidth="1"/>
    <col min="7" max="7" width="20" customWidth="1"/>
    <col min="8" max="8" width="16" customWidth="1"/>
  </cols>
  <sheetData>
    <row r="1" spans="1:8" ht="30" customHeight="1">
      <c r="A1" s="5" t="s">
        <v>33</v>
      </c>
      <c r="B1" s="5"/>
      <c r="C1" s="5"/>
      <c r="D1" s="5"/>
      <c r="E1" s="5"/>
      <c r="F1" s="5"/>
      <c r="G1" s="5"/>
      <c r="H1" s="5"/>
    </row>
    <row r="3" spans="1:8" ht="39.75" customHeight="1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</row>
    <row r="4" spans="1:8">
      <c r="A4" s="7" t="s">
        <v>42</v>
      </c>
      <c r="B4" s="7" t="s">
        <v>43</v>
      </c>
      <c r="C4" s="17">
        <v>3500</v>
      </c>
      <c r="D4" s="8">
        <v>25</v>
      </c>
      <c r="E4" s="18">
        <v>0.15</v>
      </c>
      <c r="F4" s="19">
        <f>C4*D4</f>
        <v>87500</v>
      </c>
      <c r="G4" s="19">
        <f>F4*E4</f>
        <v>13125</v>
      </c>
      <c r="H4" s="20">
        <f>IF(F4&gt;0,(F4-G4-C4*D4*0.4)/( C4*D4*0.4)*100,0)</f>
        <v>112.5</v>
      </c>
    </row>
    <row r="5" spans="1:8">
      <c r="A5" s="11" t="s">
        <v>44</v>
      </c>
      <c r="B5" s="11" t="s">
        <v>45</v>
      </c>
      <c r="C5" s="21">
        <v>1200</v>
      </c>
      <c r="D5" s="12">
        <v>150</v>
      </c>
      <c r="E5" s="22">
        <v>0.1</v>
      </c>
      <c r="F5" s="23">
        <f>C5*D5</f>
        <v>180000</v>
      </c>
      <c r="G5" s="23">
        <f>F5*E5</f>
        <v>18000</v>
      </c>
      <c r="H5" s="24">
        <f>IF(F5&gt;0,(F5-G5-C5*D5*0.4)/( C5*D5*0.4)*100,0)</f>
        <v>125</v>
      </c>
    </row>
    <row r="6" spans="1:8">
      <c r="A6" s="7" t="s">
        <v>46</v>
      </c>
      <c r="B6" s="7" t="s">
        <v>47</v>
      </c>
      <c r="C6" s="17">
        <v>750</v>
      </c>
      <c r="D6" s="8">
        <v>300</v>
      </c>
      <c r="E6" s="18">
        <v>0.05</v>
      </c>
      <c r="F6" s="19">
        <f>C6*D6</f>
        <v>225000</v>
      </c>
      <c r="G6" s="19">
        <f>F6*E6</f>
        <v>11250</v>
      </c>
      <c r="H6" s="20">
        <f>IF(F6&gt;0,(F6-G6-C6*D6*0.4)/( C6*D6*0.4)*100,0)</f>
        <v>137.5</v>
      </c>
    </row>
    <row r="7" spans="1:8">
      <c r="A7" s="11" t="s">
        <v>48</v>
      </c>
      <c r="B7" s="11" t="s">
        <v>49</v>
      </c>
      <c r="C7" s="21">
        <v>4200</v>
      </c>
      <c r="D7" s="12">
        <v>10</v>
      </c>
      <c r="E7" s="22">
        <v>0.18</v>
      </c>
      <c r="F7" s="23">
        <f>C7*D7</f>
        <v>42000</v>
      </c>
      <c r="G7" s="23">
        <f>F7*E7</f>
        <v>7560</v>
      </c>
      <c r="H7" s="24">
        <f>IF(F7&gt;0,(F7-G7-C7*D7*0.4)/( C7*D7*0.4)*100,0)</f>
        <v>105</v>
      </c>
    </row>
    <row r="8" spans="1:8">
      <c r="A8" s="7" t="s">
        <v>50</v>
      </c>
      <c r="B8" s="7" t="s">
        <v>51</v>
      </c>
      <c r="C8" s="17">
        <v>2800</v>
      </c>
      <c r="D8" s="8">
        <v>20</v>
      </c>
      <c r="E8" s="18">
        <v>0.12</v>
      </c>
      <c r="F8" s="19">
        <f>C8*D8</f>
        <v>56000</v>
      </c>
      <c r="G8" s="19">
        <f>F8*E8</f>
        <v>6720</v>
      </c>
      <c r="H8" s="20">
        <f>IF(F8&gt;0,(F8-G8-C8*D8*0.4)/( C8*D8*0.4)*100,0)</f>
        <v>120</v>
      </c>
    </row>
    <row r="9" spans="1:8">
      <c r="A9" s="11" t="s">
        <v>52</v>
      </c>
      <c r="B9" s="11" t="s">
        <v>53</v>
      </c>
      <c r="C9" s="21">
        <v>600</v>
      </c>
      <c r="D9" s="12">
        <v>500</v>
      </c>
      <c r="E9" s="22">
        <v>0.08</v>
      </c>
      <c r="F9" s="23">
        <f>C9*D9</f>
        <v>300000</v>
      </c>
      <c r="G9" s="23">
        <f>F9*E9</f>
        <v>24000</v>
      </c>
      <c r="H9" s="24">
        <f>IF(F9&gt;0,(F9-G9-C9*D9*0.4)/( C9*D9*0.4)*100,0)</f>
        <v>130</v>
      </c>
    </row>
    <row r="10" spans="1:8">
      <c r="A10" s="1" t="s">
        <v>54</v>
      </c>
      <c r="B10" s="1"/>
      <c r="C10" s="25">
        <f>AVERAGE(C4:C9)</f>
        <v>2175</v>
      </c>
      <c r="D10" s="25">
        <f>SUM(D4:D9)</f>
        <v>1005</v>
      </c>
      <c r="E10" s="26">
        <f>AVERAGE(E4:E9)</f>
        <v>0.11333333333333333</v>
      </c>
      <c r="F10" s="25">
        <f>SUM(F4:F9)</f>
        <v>890500</v>
      </c>
      <c r="G10" s="25">
        <f>SUM(G4:G9)</f>
        <v>80655</v>
      </c>
      <c r="H10" s="27">
        <f>AVERAGE(H4:H9)</f>
        <v>121.66666666666667</v>
      </c>
    </row>
  </sheetData>
  <mergeCells count="2">
    <mergeCell ref="A1:H1"/>
    <mergeCell ref="A10:B10"/>
  </mergeCells>
  <conditionalFormatting sqref="H4:H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{3A50F0E7-F270-4557-BEFB-EF5AB2E397A3}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50F0E7-F270-4557-BEFB-EF5AB2E397A3}">
            <x14:dataBar axisPosition="none">
              <x14:cfvo type="min"/>
              <x14:cfvo type="max"/>
              <x14:negativeFillColor rgb="FF638EC6"/>
            </x14:dataBar>
          </x14:cfRule>
          <xm:sqref>F4:F9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workbookViewId="0"/>
  </sheetViews>
  <sheetFormatPr defaultColWidth="8.7109375" defaultRowHeight="15"/>
  <cols>
    <col min="1" max="1" width="28" customWidth="1"/>
    <col min="2" max="2" width="18" customWidth="1"/>
    <col min="3" max="6" width="16" customWidth="1"/>
  </cols>
  <sheetData>
    <row r="1" spans="1:6" ht="30" customHeight="1">
      <c r="A1" s="5" t="s">
        <v>55</v>
      </c>
      <c r="B1" s="5"/>
      <c r="C1" s="5"/>
      <c r="D1" s="5"/>
      <c r="E1" s="5"/>
      <c r="F1" s="5"/>
    </row>
    <row r="3" spans="1:6" ht="36" customHeight="1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</row>
    <row r="4" spans="1:6">
      <c r="A4" s="7" t="s">
        <v>62</v>
      </c>
      <c r="B4" s="28">
        <v>8</v>
      </c>
      <c r="C4" s="8">
        <v>4</v>
      </c>
      <c r="D4" s="8">
        <v>0</v>
      </c>
      <c r="E4" s="8">
        <v>14</v>
      </c>
      <c r="F4" s="8">
        <v>0</v>
      </c>
    </row>
    <row r="5" spans="1:6">
      <c r="A5" s="11" t="s">
        <v>63</v>
      </c>
      <c r="B5" s="28">
        <v>85</v>
      </c>
      <c r="C5" s="12">
        <v>40</v>
      </c>
      <c r="D5" s="12">
        <v>600</v>
      </c>
      <c r="E5" s="12">
        <v>150</v>
      </c>
      <c r="F5" s="12">
        <v>515</v>
      </c>
    </row>
    <row r="6" spans="1:6">
      <c r="A6" s="7" t="s">
        <v>64</v>
      </c>
      <c r="B6" s="28">
        <v>25</v>
      </c>
      <c r="C6" s="8">
        <v>150</v>
      </c>
      <c r="D6" s="8">
        <v>80</v>
      </c>
      <c r="E6" s="8">
        <v>200</v>
      </c>
      <c r="F6" s="8">
        <v>50</v>
      </c>
    </row>
    <row r="7" spans="1:6">
      <c r="A7" s="11" t="s">
        <v>65</v>
      </c>
      <c r="B7" s="28">
        <v>6</v>
      </c>
      <c r="C7" s="12">
        <v>10</v>
      </c>
      <c r="D7" s="12">
        <v>3</v>
      </c>
      <c r="E7" s="12">
        <v>9</v>
      </c>
      <c r="F7" s="12">
        <v>3</v>
      </c>
    </row>
    <row r="8" spans="1:6">
      <c r="A8" s="7" t="s">
        <v>66</v>
      </c>
      <c r="B8" s="29">
        <v>1200</v>
      </c>
      <c r="C8" s="17">
        <v>300</v>
      </c>
      <c r="D8" s="17">
        <v>3500</v>
      </c>
      <c r="E8" s="17">
        <v>800</v>
      </c>
      <c r="F8" s="17">
        <v>500</v>
      </c>
    </row>
    <row r="9" spans="1:6">
      <c r="A9" s="11" t="s">
        <v>67</v>
      </c>
      <c r="B9" s="28">
        <v>24</v>
      </c>
      <c r="C9" s="12">
        <v>12</v>
      </c>
      <c r="D9" s="12">
        <v>0</v>
      </c>
      <c r="E9" s="12">
        <v>16</v>
      </c>
      <c r="F9" s="12">
        <v>0</v>
      </c>
    </row>
    <row r="10" spans="1:6">
      <c r="A10" s="7" t="s">
        <v>68</v>
      </c>
      <c r="B10" s="28">
        <v>1</v>
      </c>
      <c r="C10" s="8">
        <v>0</v>
      </c>
      <c r="D10" s="8">
        <v>0</v>
      </c>
      <c r="E10" s="8">
        <v>0</v>
      </c>
      <c r="F10" s="8">
        <v>0</v>
      </c>
    </row>
    <row r="11" spans="1:6">
      <c r="A11" s="30" t="s">
        <v>69</v>
      </c>
      <c r="B11" s="31">
        <f>COUNTIF(B4:B10,"&gt;0")</f>
        <v>7</v>
      </c>
      <c r="C11" s="31">
        <f>COUNTIF(C4:C10,"&gt;0")</f>
        <v>6</v>
      </c>
      <c r="D11" s="31">
        <f>COUNTIF(D4:D10,"&gt;0")</f>
        <v>4</v>
      </c>
      <c r="E11" s="31">
        <f>COUNTIF(E4:E10,"&gt;0")</f>
        <v>6</v>
      </c>
      <c r="F11" s="31">
        <f>COUNTIF(F4:F10,"&gt;0")</f>
        <v>4</v>
      </c>
    </row>
  </sheetData>
  <mergeCells count="1">
    <mergeCell ref="A1:F1"/>
  </mergeCells>
  <conditionalFormatting sqref="B11:F11">
    <cfRule type="colorScale" priority="2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1</cp:revision>
  <dcterms:created xsi:type="dcterms:W3CDTF">2026-04-30T12:47:33Z</dcterms:created>
  <dcterms:modified xsi:type="dcterms:W3CDTF">2026-04-30T13:08:12Z</dcterms:modified>
  <cp:category/>
  <cp:contentStatus/>
</cp:coreProperties>
</file>